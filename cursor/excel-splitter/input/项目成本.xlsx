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bin\excel-split\input\"/>
    </mc:Choice>
  </mc:AlternateContent>
  <bookViews>
    <workbookView windowWidth="28800" windowHeight="12255" firstSheet="1" activeTab="2"/>
  </bookViews>
  <sheets>
    <sheet name="输入-工时表" sheetId="1" r:id="rId1"/>
    <sheet name="输入-支付规则" sheetId="3" r:id="rId2"/>
    <sheet name="输入-工资表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<sst xmlns="http://schemas.openxmlformats.org/spreadsheetml/2006/main" count="144" uniqueCount="72">
  <si>
    <t>姓名</t>
  </si>
  <si>
    <t>工号</t>
  </si>
  <si>
    <t>费用类别</t>
  </si>
  <si>
    <t>费用所属中心</t>
  </si>
  <si>
    <t>实际出勤</t>
  </si>
  <si>
    <t>备注</t>
  </si>
  <si>
    <t>张三</t>
  </si>
  <si>
    <t>AA</t>
  </si>
  <si>
    <t>研发</t>
  </si>
  <si>
    <t>李四</t>
  </si>
  <si>
    <t>BB</t>
  </si>
  <si>
    <t>王五</t>
  </si>
  <si>
    <t>CC</t>
  </si>
  <si>
    <t>销售</t>
  </si>
  <si>
    <t>吴八</t>
  </si>
  <si>
    <t>GG</t>
  </si>
  <si>
    <t>公司</t>
  </si>
  <si>
    <t>项目名称</t>
  </si>
  <si>
    <t>支付账户</t>
  </si>
  <si>
    <t>重庆分3</t>
  </si>
  <si>
    <t>募投31</t>
  </si>
  <si>
    <t>重庆分4</t>
  </si>
  <si>
    <t>募投41</t>
  </si>
  <si>
    <t>募投32</t>
  </si>
  <si>
    <t>重庆分5</t>
  </si>
  <si>
    <t>募投52</t>
  </si>
  <si>
    <t>募投33</t>
  </si>
  <si>
    <t>募投43</t>
  </si>
  <si>
    <t>募投5</t>
  </si>
  <si>
    <t>募投44</t>
  </si>
  <si>
    <t>重庆分6</t>
  </si>
  <si>
    <t>募投66</t>
  </si>
  <si>
    <t>重庆分7</t>
  </si>
  <si>
    <t>募投77</t>
  </si>
  <si>
    <t>重庆分</t>
  </si>
  <si>
    <t>营销中心1</t>
  </si>
  <si>
    <t>YX1</t>
  </si>
  <si>
    <t>营销中心2</t>
  </si>
  <si>
    <t>YX2</t>
  </si>
  <si>
    <t>行政部</t>
  </si>
  <si>
    <t>XZB6</t>
  </si>
  <si>
    <t>XZB7</t>
  </si>
  <si>
    <t>财务部</t>
  </si>
  <si>
    <t>CWB</t>
  </si>
  <si>
    <t>重庆分8</t>
  </si>
  <si>
    <t>募投85</t>
  </si>
  <si>
    <t>部门</t>
  </si>
  <si>
    <t>基本工资</t>
  </si>
  <si>
    <t>岗位工资</t>
  </si>
  <si>
    <t>福利前工资合计</t>
  </si>
  <si>
    <t>用餐补助</t>
  </si>
  <si>
    <t>税前应发工资总额(不含差补)</t>
  </si>
  <si>
    <t>差旅补助</t>
  </si>
  <si>
    <t>实发工资</t>
  </si>
  <si>
    <t>工资所属单位</t>
  </si>
  <si>
    <t>分管领导</t>
  </si>
  <si>
    <t>中国</t>
  </si>
  <si>
    <t>研发部</t>
  </si>
  <si>
    <t>美国</t>
  </si>
  <si>
    <t>人事</t>
  </si>
  <si>
    <t>人事部</t>
  </si>
  <si>
    <t>日本</t>
  </si>
  <si>
    <t>销售部</t>
  </si>
  <si>
    <t>DD</t>
  </si>
  <si>
    <t>赵六</t>
  </si>
  <si>
    <t>法国</t>
  </si>
  <si>
    <t>行政</t>
  </si>
  <si>
    <t>EE</t>
  </si>
  <si>
    <t>周七</t>
  </si>
  <si>
    <t>FF</t>
  </si>
  <si>
    <t>英国</t>
  </si>
  <si>
    <t>财务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</si>
</sst>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0.00_);[Red]\(0.00\)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4" applyNumberFormat="0" applyAlignment="0" applyProtection="0">
      <alignment vertical="center"/>
    </xf>
    <xf numFmtId="0" fontId="10" fillId="5" borderId="5" applyNumberFormat="0" applyAlignment="0" applyProtection="0">
      <alignment vertical="center"/>
    </xf>
    <xf numFmtId="0" fontId="11" fillId="5" borderId="4" applyNumberFormat="0" applyAlignment="0" applyProtection="0">
      <alignment vertical="center"/>
    </xf>
    <xf numFmtId="0" fontId="12" fillId="6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  <xf numFmtId="0" fontId="18" fillId="33" borderId="0" applyNumberFormat="0" applyBorder="0" applyAlignment="0" applyProtection="0">
      <alignment vertical="center"/>
    </xf>
  </cellStyleXfs>
  <cellXfs count="6">
    <xf numFmtId="0" fontId="0" fillId="0" borderId="0" xfId="0">
      <alignment vertical="center"/>
    </xf>
    <xf numFmtId="176" fontId="0" fillId="0" borderId="0" xfId="0" applyNumberFormat="1">
      <alignment vertical="center"/>
    </xf>
    <xf numFmtId="0" fontId="0" fillId="0" borderId="0" xfId="0" applyFont="1" applyFill="1" applyAlignment="1">
      <alignment vertical="center"/>
    </xf>
    <xf numFmtId="176" fontId="0" fillId="0" borderId="0" xfId="0" applyNumberFormat="1" applyFont="1">
      <alignment vertical="center"/>
    </xf>
    <xf numFmtId="0" fontId="0" fillId="2" borderId="0" xfId="0" applyFont="1" applyFill="1" applyAlignment="1">
      <alignment horizontal="center" vertical="center"/>
    </xf>
    <xf numFmtId="0" fontId="0" fillId="2" borderId="0" xfId="0" applyFont="1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">
    <dxf>
      <font>
        <color rgb="FF9C0006"/>
      </font>
      <fill>
        <patternFill patternType="solid"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1"/>
  <dimension ref="A1:F11"/>
  <sheetViews>
    <sheetView workbookViewId="0">
      <selection activeCell="F11" sqref="F11"/>
    </sheetView>
  </sheetViews>
  <sheetFormatPr defaultColWidth="9" defaultRowHeight="14.25" outlineLevelCol="5"/>
  <cols>
    <col min="4" max="4" width="14.8833333333333" customWidth="1"/>
    <col min="6" max="6" width="30.375" customWidth="1"/>
  </cols>
  <sheetData>
    <row r="1" spans="1:6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>
      <c r="A2" t="s">
        <v>6</v>
      </c>
      <c r="B2" t="s">
        <v>7</v>
      </c>
      <c r="C2" t="s">
        <v>8</v>
      </c>
      <c r="D2">
        <v>1</v>
      </c>
      <c r="E2">
        <v>1</v>
      </c>
    </row>
    <row r="3" spans="1:6">
      <c r="A3" t="s">
        <v>9</v>
      </c>
      <c r="B3" t="s">
        <v>10</v>
      </c>
      <c r="C3" t="s">
        <v>8</v>
      </c>
      <c r="D3">
        <v>1</v>
      </c>
      <c r="E3">
        <v>2</v>
      </c>
    </row>
    <row r="4" spans="1:6">
      <c r="A4" t="s">
        <v>11</v>
      </c>
      <c r="B4" t="s">
        <v>12</v>
      </c>
      <c r="C4" t="s">
        <v>8</v>
      </c>
      <c r="D4">
        <v>2</v>
      </c>
      <c r="E4">
        <v>3</v>
      </c>
    </row>
    <row r="5" spans="1:6">
      <c r="A5" t="s">
        <v>6</v>
      </c>
      <c r="B5" t="s">
        <v>7</v>
      </c>
      <c r="C5" t="s">
        <v>8</v>
      </c>
      <c r="D5">
        <v>2</v>
      </c>
      <c r="E5">
        <v>4</v>
      </c>
    </row>
    <row r="6" spans="1:6">
      <c r="A6" t="s">
        <v>9</v>
      </c>
      <c r="B6" t="s">
        <v>10</v>
      </c>
      <c r="C6" t="s">
        <v>13</v>
      </c>
      <c r="D6">
        <v>3</v>
      </c>
      <c r="E6">
        <v>5</v>
      </c>
    </row>
    <row r="7" spans="1:6">
      <c r="A7" t="s">
        <v>11</v>
      </c>
      <c r="B7" t="s">
        <v>12</v>
      </c>
      <c r="C7" t="s">
        <v>13</v>
      </c>
      <c r="D7">
        <v>3</v>
      </c>
      <c r="E7">
        <v>6</v>
      </c>
    </row>
    <row r="8" spans="1:6">
      <c r="A8" t="s">
        <v>6</v>
      </c>
      <c r="B8" t="s">
        <v>7</v>
      </c>
      <c r="C8" t="s">
        <v>13</v>
      </c>
      <c r="D8">
        <v>3</v>
      </c>
      <c r="E8">
        <v>4</v>
      </c>
    </row>
    <row r="9" spans="1:6">
      <c r="A9" t="s">
        <v>9</v>
      </c>
      <c r="B9" t="s">
        <v>10</v>
      </c>
      <c r="C9" t="s">
        <v>13</v>
      </c>
      <c r="D9">
        <v>4</v>
      </c>
      <c r="E9">
        <v>5</v>
      </c>
    </row>
    <row r="10" spans="1:6">
      <c r="A10" t="s">
        <v>11</v>
      </c>
      <c r="B10" t="s">
        <v>12</v>
      </c>
      <c r="C10" t="s">
        <v>13</v>
      </c>
      <c r="D10">
        <v>5</v>
      </c>
      <c r="E10">
        <v>6</v>
      </c>
    </row>
    <row r="11" spans="1:6">
      <c r="A11" t="s">
        <v>14</v>
      </c>
      <c r="B11" t="s">
        <v>15</v>
      </c>
      <c r="C11" t="s">
        <v>8</v>
      </c>
      <c r="D11">
        <v>5</v>
      </c>
      <c r="E11">
        <v>0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tabColor theme="8" tint="0.799981688894314"/>
  </sheetPr>
  <dimension ref="A1:D18"/>
  <sheetViews>
    <sheetView workbookViewId="0">
      <selection activeCell="D11" sqref="D11"/>
    </sheetView>
  </sheetViews>
  <sheetFormatPr defaultColWidth="9" defaultRowHeight="14.25" outlineLevelCol="3"/>
  <cols>
    <col min="1" max="1" width="16.1083333333333" style="2" customWidth="1"/>
    <col min="2" max="2" width="22.3333333333333" style="2" customWidth="1"/>
    <col min="3" max="3" width="42" style="2" customWidth="1"/>
    <col min="4" max="4" width="9.55833333333333" style="2" customWidth="1"/>
    <col min="5" max="16384" width="9" style="2"/>
  </cols>
  <sheetData>
    <row r="1" spans="1:4">
      <c r="A1" s="4" t="s">
        <v>16</v>
      </c>
      <c r="B1" s="5" t="s">
        <v>3</v>
      </c>
      <c r="C1" s="2" t="s">
        <v>17</v>
      </c>
      <c r="D1" s="2" t="s">
        <v>18</v>
      </c>
    </row>
    <row r="2" spans="1:4">
      <c r="A2" s="2" t="s">
        <v>19</v>
      </c>
      <c r="B2">
        <v>1</v>
      </c>
      <c r="D2" s="2" t="s">
        <v>20</v>
      </c>
    </row>
    <row r="3" spans="1:4">
      <c r="A3" s="2" t="s">
        <v>21</v>
      </c>
      <c r="B3">
        <v>1</v>
      </c>
      <c r="D3" s="2" t="s">
        <v>22</v>
      </c>
    </row>
    <row r="4" spans="1:4">
      <c r="A4" s="2" t="s">
        <v>19</v>
      </c>
      <c r="B4">
        <v>2</v>
      </c>
      <c r="D4" s="2" t="s">
        <v>23</v>
      </c>
    </row>
    <row r="5" spans="1:4">
      <c r="A5" s="2" t="s">
        <v>24</v>
      </c>
      <c r="B5">
        <v>2</v>
      </c>
      <c r="D5" s="2" t="s">
        <v>25</v>
      </c>
    </row>
    <row r="6" spans="1:4">
      <c r="A6" s="2" t="s">
        <v>19</v>
      </c>
      <c r="B6">
        <v>3</v>
      </c>
      <c r="D6" s="2" t="s">
        <v>26</v>
      </c>
    </row>
    <row r="7" spans="1:4">
      <c r="A7" s="2" t="s">
        <v>21</v>
      </c>
      <c r="B7">
        <v>3</v>
      </c>
      <c r="D7" s="2" t="s">
        <v>27</v>
      </c>
    </row>
    <row r="8" spans="1:4">
      <c r="A8" s="2" t="s">
        <v>24</v>
      </c>
      <c r="B8">
        <v>3</v>
      </c>
      <c r="D8" s="2" t="s">
        <v>28</v>
      </c>
    </row>
    <row r="9" spans="1:4">
      <c r="A9" s="2" t="s">
        <v>21</v>
      </c>
      <c r="B9">
        <v>4</v>
      </c>
      <c r="D9" s="2" t="s">
        <v>29</v>
      </c>
    </row>
    <row r="10" spans="1:4">
      <c r="A10" s="2" t="s">
        <v>24</v>
      </c>
      <c r="B10">
        <v>5</v>
      </c>
      <c r="D10" s="2" t="s">
        <v>28</v>
      </c>
    </row>
    <row r="11" spans="1:4">
      <c r="A11" s="2" t="s">
        <v>30</v>
      </c>
      <c r="B11">
        <v>6</v>
      </c>
      <c r="D11" s="2" t="s">
        <v>31</v>
      </c>
    </row>
    <row r="12" spans="1:4">
      <c r="A12" s="2" t="s">
        <v>32</v>
      </c>
      <c r="B12">
        <v>7</v>
      </c>
      <c r="D12" s="2" t="s">
        <v>33</v>
      </c>
    </row>
    <row r="13" spans="1:4">
      <c r="A13" s="2" t="s">
        <v>34</v>
      </c>
      <c r="B13" s="2" t="s">
        <v>35</v>
      </c>
      <c r="D13" s="2" t="s">
        <v>36</v>
      </c>
    </row>
    <row r="14" spans="1:4">
      <c r="A14" s="2" t="s">
        <v>34</v>
      </c>
      <c r="B14" s="2" t="s">
        <v>37</v>
      </c>
      <c r="D14" s="2" t="s">
        <v>38</v>
      </c>
    </row>
    <row r="15" spans="1:4">
      <c r="A15" s="2" t="s">
        <v>30</v>
      </c>
      <c r="B15" t="s">
        <v>39</v>
      </c>
      <c r="D15" s="2" t="s">
        <v>40</v>
      </c>
    </row>
    <row r="16" spans="1:4">
      <c r="A16" s="2" t="s">
        <v>32</v>
      </c>
      <c r="B16" t="s">
        <v>39</v>
      </c>
      <c r="D16" s="2" t="s">
        <v>41</v>
      </c>
    </row>
    <row r="17" spans="1:4">
      <c r="A17" s="2" t="s">
        <v>34</v>
      </c>
      <c r="B17" t="s">
        <v>42</v>
      </c>
      <c r="D17" s="2" t="s">
        <v>43</v>
      </c>
    </row>
    <row r="18" spans="1:4">
      <c r="A18" s="2" t="s">
        <v>44</v>
      </c>
      <c r="B18">
        <v>5</v>
      </c>
      <c r="D18" s="2" t="s">
        <v>45</v>
      </c>
    </row>
  </sheetData>
  <conditionalFormatting sqref="C3">
    <cfRule type="duplicateValues" dxfId="0" priority="6"/>
  </conditionalFormatting>
  <conditionalFormatting sqref="C4">
    <cfRule type="duplicateValues" dxfId="0" priority="5"/>
  </conditionalFormatting>
  <conditionalFormatting sqref="C7">
    <cfRule type="duplicateValues" dxfId="0" priority="3"/>
  </conditionalFormatting>
  <conditionalFormatting sqref="C8">
    <cfRule type="duplicateValues" dxfId="0" priority="4"/>
  </conditionalFormatting>
  <conditionalFormatting sqref="C16">
    <cfRule type="duplicateValues" dxfId="0" priority="2"/>
  </conditionalFormatting>
  <conditionalFormatting sqref="C18">
    <cfRule type="duplicateValues" dxfId="0" priority="1"/>
  </conditionalFormatting>
  <conditionalFormatting sqref="C1:C2 C5:C6 C9:C14 C19:C1048576">
    <cfRule type="duplicateValues" dxfId="0" priority="8"/>
  </conditionalFormatting>
  <conditionalFormatting sqref="C15 C17">
    <cfRule type="duplicateValues" dxfId="0" priority="7"/>
  </conditionalFormatting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 codeName="Sheet2"/>
  <dimension ref="A1:P8"/>
  <sheetViews>
    <sheetView tabSelected="1" workbookViewId="0">
      <selection activeCell="J1" sqref="J1"/>
    </sheetView>
  </sheetViews>
  <sheetFormatPr defaultColWidth="9" defaultRowHeight="14.25" outlineLevelRow="7"/>
  <cols>
    <col min="4" max="5" width="9" style="1"/>
    <col min="6" max="7" width="15.25" style="1" customWidth="1"/>
    <col min="8" max="8" width="23.5" style="1" customWidth="1"/>
    <col min="9" max="9" width="12.75" style="1" customWidth="1"/>
    <col min="10" max="10" width="9" style="1"/>
    <col min="11" max="11" width="10.2166666666667" customWidth="1"/>
    <col min="12" max="12" width="19" customWidth="1"/>
    <col min="13" max="13" width="14.5583333333333" customWidth="1"/>
    <col min="14" max="14" width="12.4416666666667" customWidth="1"/>
  </cols>
  <sheetData>
    <row r="1" spans="1:16">
      <c r="A1" t="s">
        <v>0</v>
      </c>
      <c r="B1" t="s">
        <v>1</v>
      </c>
      <c r="C1" t="s">
        <v>46</v>
      </c>
      <c r="D1" s="1" t="s">
        <v>47</v>
      </c>
      <c r="E1" s="1" t="s">
        <v>48</v>
      </c>
      <c r="F1" s="1" t="s">
        <v>49</v>
      </c>
      <c r="G1" s="1" t="s">
        <v>50</v>
      </c>
      <c r="H1" s="1" t="s">
        <v>51</v>
      </c>
      <c r="I1" s="1" t="s">
        <v>52</v>
      </c>
      <c r="J1" s="1" t="s">
        <v>53</v>
      </c>
      <c r="K1" t="s">
        <v>2</v>
      </c>
      <c r="L1" t="s">
        <v>54</v>
      </c>
      <c r="M1" t="s">
        <v>3</v>
      </c>
      <c r="N1" t="s">
        <v>4</v>
      </c>
      <c r="O1" t="s">
        <v>55</v>
      </c>
      <c r="P1" t="s">
        <v>18</v>
      </c>
    </row>
    <row r="2" spans="1:16">
      <c r="A2" t="s">
        <v>6</v>
      </c>
      <c r="B2" t="s">
        <v>7</v>
      </c>
      <c r="C2" t="s">
        <v>56</v>
      </c>
      <c r="D2" s="1">
        <v>1000</v>
      </c>
      <c r="E2" s="1">
        <v>300</v>
      </c>
      <c r="F2" s="1">
        <f t="shared" ref="F2:F8" si="0">D2+E2</f>
        <v>1300</v>
      </c>
      <c r="G2" s="1">
        <v>200</v>
      </c>
      <c r="H2" s="1">
        <f t="shared" ref="H2:H8" si="1">F2+G2</f>
        <v>1500</v>
      </c>
      <c r="I2" s="1">
        <v>100</v>
      </c>
      <c r="J2" s="1">
        <f t="shared" ref="J2:J8" si="2">H2+I2</f>
        <v>1600</v>
      </c>
      <c r="K2" t="s">
        <v>8</v>
      </c>
      <c r="L2" s="2" t="s">
        <v>19</v>
      </c>
      <c r="M2" t="s">
        <v>57</v>
      </c>
      <c r="N2">
        <v>21</v>
      </c>
      <c r="O2" t="s">
        <v>10</v>
      </c>
    </row>
    <row r="3" spans="1:16">
      <c r="A3" t="s">
        <v>9</v>
      </c>
      <c r="B3" t="s">
        <v>10</v>
      </c>
      <c r="C3" t="s">
        <v>58</v>
      </c>
      <c r="D3" s="3">
        <v>2000</v>
      </c>
      <c r="E3" s="1">
        <v>100</v>
      </c>
      <c r="F3" s="1">
        <f t="shared" si="0"/>
        <v>2100</v>
      </c>
      <c r="G3" s="1">
        <v>200</v>
      </c>
      <c r="H3" s="1">
        <f t="shared" si="1"/>
        <v>2300</v>
      </c>
      <c r="I3" s="1">
        <v>101</v>
      </c>
      <c r="J3" s="1">
        <f t="shared" si="2"/>
        <v>2401</v>
      </c>
      <c r="K3" t="s">
        <v>59</v>
      </c>
      <c r="L3" s="2" t="s">
        <v>21</v>
      </c>
      <c r="M3" t="s">
        <v>60</v>
      </c>
      <c r="N3">
        <v>20</v>
      </c>
      <c r="O3" t="s">
        <v>12</v>
      </c>
    </row>
    <row r="4" spans="1:16">
      <c r="A4" t="s">
        <v>11</v>
      </c>
      <c r="B4" t="s">
        <v>12</v>
      </c>
      <c r="C4" t="s">
        <v>61</v>
      </c>
      <c r="D4" s="1">
        <v>3000</v>
      </c>
      <c r="E4" s="1">
        <v>200</v>
      </c>
      <c r="F4" s="1">
        <f t="shared" si="0"/>
        <v>3200</v>
      </c>
      <c r="G4" s="1">
        <v>200</v>
      </c>
      <c r="H4" s="1">
        <f t="shared" si="1"/>
        <v>3400</v>
      </c>
      <c r="I4" s="1">
        <v>102</v>
      </c>
      <c r="J4" s="1">
        <f t="shared" si="2"/>
        <v>3502</v>
      </c>
      <c r="K4" t="s">
        <v>13</v>
      </c>
      <c r="L4" s="2" t="s">
        <v>24</v>
      </c>
      <c r="M4" t="s">
        <v>62</v>
      </c>
      <c r="N4">
        <v>22</v>
      </c>
      <c r="O4" t="s">
        <v>63</v>
      </c>
    </row>
    <row r="5" spans="1:16">
      <c r="A5" t="s">
        <v>64</v>
      </c>
      <c r="B5" t="s">
        <v>63</v>
      </c>
      <c r="C5" t="s">
        <v>65</v>
      </c>
      <c r="D5" s="1">
        <v>4000</v>
      </c>
      <c r="E5" s="1">
        <v>1000</v>
      </c>
      <c r="F5" s="1">
        <f t="shared" si="0"/>
        <v>5000</v>
      </c>
      <c r="G5" s="1">
        <v>200</v>
      </c>
      <c r="H5" s="1">
        <f t="shared" si="1"/>
        <v>5200</v>
      </c>
      <c r="I5" s="1">
        <v>103</v>
      </c>
      <c r="J5" s="1">
        <f t="shared" si="2"/>
        <v>5303</v>
      </c>
      <c r="K5" t="s">
        <v>66</v>
      </c>
      <c r="L5" s="2" t="s">
        <v>30</v>
      </c>
      <c r="M5" t="s">
        <v>39</v>
      </c>
      <c r="N5">
        <v>10</v>
      </c>
      <c r="O5" t="s">
        <v>67</v>
      </c>
    </row>
    <row r="6" spans="1:16">
      <c r="A6" t="s">
        <v>68</v>
      </c>
      <c r="B6" t="s">
        <v>69</v>
      </c>
      <c r="C6" t="s">
        <v>70</v>
      </c>
      <c r="D6" s="1">
        <v>5000</v>
      </c>
      <c r="E6" s="1">
        <v>2000</v>
      </c>
      <c r="F6" s="1">
        <f t="shared" si="0"/>
        <v>7000</v>
      </c>
      <c r="G6" s="1">
        <v>200</v>
      </c>
      <c r="H6" s="1">
        <f t="shared" si="1"/>
        <v>7200</v>
      </c>
      <c r="I6" s="1">
        <v>104</v>
      </c>
      <c r="J6" s="1">
        <f t="shared" si="2"/>
        <v>7304</v>
      </c>
      <c r="K6" t="s">
        <v>71</v>
      </c>
      <c r="L6" s="2" t="s">
        <v>32</v>
      </c>
      <c r="M6" t="s">
        <v>39</v>
      </c>
      <c r="N6">
        <v>15</v>
      </c>
      <c r="O6" t="s">
        <v>69</v>
      </c>
    </row>
    <row r="7" spans="1:16">
      <c r="A7" t="s">
        <v>9</v>
      </c>
      <c r="B7" t="s">
        <v>10</v>
      </c>
      <c r="C7" t="s">
        <v>58</v>
      </c>
      <c r="D7" s="3">
        <v>2000</v>
      </c>
      <c r="E7" s="1">
        <v>100</v>
      </c>
      <c r="F7" s="1">
        <f t="shared" si="0"/>
        <v>2100</v>
      </c>
      <c r="G7" s="1">
        <v>200</v>
      </c>
      <c r="H7" s="1">
        <f t="shared" si="1"/>
        <v>2300</v>
      </c>
      <c r="I7" s="1">
        <v>105</v>
      </c>
      <c r="J7" s="1">
        <f t="shared" si="2"/>
        <v>2405</v>
      </c>
      <c r="K7" t="s">
        <v>59</v>
      </c>
      <c r="L7" s="2" t="s">
        <v>21</v>
      </c>
      <c r="M7" t="s">
        <v>60</v>
      </c>
      <c r="N7">
        <v>20</v>
      </c>
      <c r="O7" t="s">
        <v>12</v>
      </c>
    </row>
    <row r="8" spans="1:16">
      <c r="A8" t="s">
        <v>14</v>
      </c>
      <c r="B8" t="s">
        <v>15</v>
      </c>
      <c r="C8" t="s">
        <v>58</v>
      </c>
      <c r="D8" s="3">
        <v>2000</v>
      </c>
      <c r="E8" s="1">
        <v>100</v>
      </c>
      <c r="F8" s="1">
        <f t="shared" si="0"/>
        <v>2100</v>
      </c>
      <c r="G8" s="1">
        <v>200</v>
      </c>
      <c r="H8" s="1">
        <f t="shared" si="1"/>
        <v>2300</v>
      </c>
      <c r="I8" s="1">
        <v>106</v>
      </c>
      <c r="J8" s="1">
        <f t="shared" si="2"/>
        <v>2406</v>
      </c>
      <c r="K8" t="s">
        <v>8</v>
      </c>
      <c r="L8" s="2" t="s">
        <v>44</v>
      </c>
      <c r="M8" t="s">
        <v>57</v>
      </c>
      <c r="N8">
        <v>20</v>
      </c>
      <c r="O8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输入-工时表</vt:lpstr>
      <vt:lpstr>输入-支付规则</vt:lpstr>
      <vt:lpstr>输入-工资表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万里 黄</dc:creator>
  <cp:lastModifiedBy>万里</cp:lastModifiedBy>
  <dcterms:created xsi:type="dcterms:W3CDTF">2025-04-19T11:09:00Z</dcterms:created>
  <dcterms:modified xsi:type="dcterms:W3CDTF">2026-08-04T00:40:54Z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2B6417880E2143CC80BA9BA95824E2FF_12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